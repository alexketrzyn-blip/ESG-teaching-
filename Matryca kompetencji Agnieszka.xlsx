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dd5123b3ed5494/Pulpit/Nauka EXcela/moje/"/>
    </mc:Choice>
  </mc:AlternateContent>
  <xr:revisionPtr revIDLastSave="584" documentId="8_{395D7A26-E0D0-4E0D-AFD7-10656BEB4077}" xr6:coauthVersionLast="47" xr6:coauthVersionMax="47" xr10:uidLastSave="{36411172-FAAD-4C11-AC1F-65BB7B6FF825}"/>
  <bookViews>
    <workbookView xWindow="-108" yWindow="-108" windowWidth="23256" windowHeight="12456" xr2:uid="{E63D65AE-FA08-4146-8079-015BB00C16CA}"/>
  </bookViews>
  <sheets>
    <sheet name="Agnieszka matryca " sheetId="2" r:id="rId1"/>
    <sheet name="Agnieszka analiza wyników 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P3" i="2"/>
  <c r="N3" i="2"/>
  <c r="M3" i="2"/>
  <c r="J18" i="2"/>
  <c r="J19" i="2"/>
  <c r="J20" i="2"/>
  <c r="J21" i="2"/>
  <c r="H3" i="2"/>
  <c r="J3" i="2" s="1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H19" i="2"/>
  <c r="H20" i="2"/>
  <c r="H21" i="2"/>
  <c r="H22" i="2"/>
  <c r="J22" i="2" s="1"/>
</calcChain>
</file>

<file path=xl/sharedStrings.xml><?xml version="1.0" encoding="utf-8"?>
<sst xmlns="http://schemas.openxmlformats.org/spreadsheetml/2006/main" count="96" uniqueCount="54">
  <si>
    <t>Mówienie</t>
  </si>
  <si>
    <t xml:space="preserve">Pisanie </t>
  </si>
  <si>
    <t xml:space="preserve">Słownictwo </t>
  </si>
  <si>
    <t xml:space="preserve">Gramatyka </t>
  </si>
  <si>
    <t xml:space="preserve">Czytanie </t>
  </si>
  <si>
    <t xml:space="preserve">Słuchanie </t>
  </si>
  <si>
    <t xml:space="preserve">Średnia </t>
  </si>
  <si>
    <t>The Basics of Sustainability</t>
  </si>
  <si>
    <t>Deforestation and Wood Sourcing</t>
  </si>
  <si>
    <t>The EUDR - What a Buyer Needs to Know</t>
  </si>
  <si>
    <t>Eco-Certifications &amp; Labels</t>
  </si>
  <si>
    <t>Spotting Greenwashing</t>
  </si>
  <si>
    <t>The Circular Economy</t>
  </si>
  <si>
    <t>Environment and Social Issues</t>
  </si>
  <si>
    <t>Effective Business Emails</t>
  </si>
  <si>
    <t>Arranging a Call or Meeting</t>
  </si>
  <si>
    <t>Telephoning with Suppliers</t>
  </si>
  <si>
    <t>Meetings on Sustainability</t>
  </si>
  <si>
    <t>Presenting Your Company's Strategy</t>
  </si>
  <si>
    <t>Threats to Species &amp; Material Substitutions</t>
  </si>
  <si>
    <t>Analyzing Environmental Documents</t>
  </si>
  <si>
    <t>Creating a Sourcing Request</t>
  </si>
  <si>
    <t>Supplier Audits and Site Visits</t>
  </si>
  <si>
    <t>Negotiation Skills for Sustainable Contracts</t>
  </si>
  <si>
    <t>Solving Business Problems</t>
  </si>
  <si>
    <t>Final Project Presentation</t>
  </si>
  <si>
    <t xml:space="preserve"> Agnieszka kurs Green Procurment . Agnieszka pracuje w dziale zakupów w pirmie produkującej meble tapicerowane.</t>
  </si>
  <si>
    <t xml:space="preserve">Summary and Self-Assessment </t>
  </si>
  <si>
    <t xml:space="preserve">Tytuł lekcji </t>
  </si>
  <si>
    <t>Status kompetencji</t>
  </si>
  <si>
    <t>Do poprawy</t>
  </si>
  <si>
    <t>OK</t>
  </si>
  <si>
    <t>Komentarz</t>
  </si>
  <si>
    <t>Poprawa słownictwa</t>
  </si>
  <si>
    <t xml:space="preserve">Skupienie się na konwersacjach </t>
  </si>
  <si>
    <t>Skupienie się na zadanaich polegajacych na odgrywaniu ról</t>
  </si>
  <si>
    <t xml:space="preserve">Powtórzenie słownicta </t>
  </si>
  <si>
    <t>Skupienie się na mówieniu</t>
  </si>
  <si>
    <t xml:space="preserve">Praktyka konwersacji </t>
  </si>
  <si>
    <t xml:space="preserve">Skupienie się na konwersacji </t>
  </si>
  <si>
    <t xml:space="preserve">Praktykowanie wszystkich czterech sprawności </t>
  </si>
  <si>
    <t xml:space="preserve">Ćwiczeni odgrywania ról </t>
  </si>
  <si>
    <t>Omawianie Case study</t>
  </si>
  <si>
    <t xml:space="preserve">Analiza przypadków i ćwiczenie pisania </t>
  </si>
  <si>
    <t xml:space="preserve">Analiza przypadków i ćwiczeni odgrywania ról  </t>
  </si>
  <si>
    <t xml:space="preserve">Analiza przypadków i ćwiczenie odgrywania ról </t>
  </si>
  <si>
    <t xml:space="preserve">Ćwiczenie wyrażania opinii </t>
  </si>
  <si>
    <t xml:space="preserve"> Ćwiczenie wyrażania opinii </t>
  </si>
  <si>
    <t xml:space="preserve">Ćwiczenie odgrywania ról </t>
  </si>
  <si>
    <t xml:space="preserve">Umiejetnosci opanowane </t>
  </si>
  <si>
    <t>Ile jest 2</t>
  </si>
  <si>
    <t>Ile jest 3</t>
  </si>
  <si>
    <t>Ile jest 4</t>
  </si>
  <si>
    <t>Ile jest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</si>
</sst>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/>
    </xf>
    <xf numFmtId="2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ny" xfId="0" builtinId="0"/>
  </cellStyles>
  <dxfs count="9"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9BC45-363C-4C21-B661-92104FCF465C}" name="Tabela3" displayName="Tabela3" ref="A2:H22" totalsRowShown="0">
  <autoFilter ref="A2:H22" xr:uid="{95D9BC45-363C-4C21-B661-92104FCF465C}"/>
  <tableColumns count="8">
    <tableColumn id="1" xr3:uid="{B84AB2A6-96F3-49CD-B64E-36AEED32192C}" name="Tytuł lekcji "/>
    <tableColumn id="2" xr3:uid="{A65E1B94-A44F-406D-A727-2EE789D80F54}" name="Czytanie "/>
    <tableColumn id="3" xr3:uid="{B8886673-9BCC-4877-8ACE-7D005B56A606}" name="Słuchanie "/>
    <tableColumn id="4" xr3:uid="{EB2079F2-63C5-479C-8034-BA64B68C4737}" name="Mówienie"/>
    <tableColumn id="5" xr3:uid="{9641F9A6-95A8-4745-90FD-30EB71281EFA}" name="Pisanie "/>
    <tableColumn id="6" xr3:uid="{A6C87953-6E24-43CF-9DF7-64035993FE99}" name="Słownictwo "/>
    <tableColumn id="7" xr3:uid="{C2D648F7-0310-4950-B62E-F3E390624678}" name="Gramatyka "/>
    <tableColumn id="8" xr3:uid="{96B53151-1B3D-4FE4-9A1F-8BD76D77C0AF}" name="Średnia " dataDxfId="8">
      <calculatedColumnFormula>AVERAGE(B3:G3)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5631BF-37B4-4D25-B4FC-56E0343B012D}" name="Tabela4" displayName="Tabela4" ref="J2:J22" totalsRowShown="0" headerRowDxfId="7">
  <autoFilter ref="J2:J22" xr:uid="{7F5631BF-37B4-4D25-B4FC-56E0343B012D}"/>
  <tableColumns count="1">
    <tableColumn id="1" xr3:uid="{0CE9A7A5-7CDD-4F41-9355-7DAC30A7EABD}" name="Status kompetencji">
      <calculatedColumnFormula>IF(H3&gt;=4,"OK",IF(H3&gt;=3,"Do poprawy","Luka"))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FB30C50-F9CA-4DDE-B850-43AB057FEE63}" name="Tabela13" displayName="Tabela13" ref="A2:D21" totalsRowShown="0">
  <autoFilter ref="A2:D21" xr:uid="{DFB30C50-F9CA-4DDE-B850-43AB057FEE63}"/>
  <sortState xmlns:xlrd2="http://schemas.microsoft.com/office/spreadsheetml/2017/richdata2" ref="A3:C21">
    <sortCondition ref="B3:B21"/>
  </sortState>
  <tableColumns count="4">
    <tableColumn id="1" xr3:uid="{BC225628-0005-444C-8C58-F3FE69C0642F}" name="Tytuł lekcji "/>
    <tableColumn id="8" xr3:uid="{5EF55857-90EF-4A96-A7A4-2B4055BBDC69}" name="Średnia " dataDxfId="6"/>
    <tableColumn id="9" xr3:uid="{ADAF627B-09A2-4173-90A0-B31CEA2A0581}" name="Status kompetencji"/>
    <tableColumn id="11" xr3:uid="{6521390A-193C-4A1B-BDCD-76E127F570C6}" name="Komentarz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1BCD-6883-4775-AFDE-3DDEF8D91953}">
  <dimension ref="A1:P22"/>
  <sheetViews>
    <sheetView tabSelected="1" workbookViewId="0">
      <selection activeCell="P3" sqref="P3"/>
    </sheetView>
  </sheetViews>
  <sheetFormatPr defaultRowHeight="14.4" x14ac:dyDescent="0.3"/>
  <cols>
    <col min="1" max="1" width="39.21875" bestFit="1" customWidth="1"/>
    <col min="2" max="2" width="10" customWidth="1"/>
    <col min="3" max="3" width="11.109375" customWidth="1"/>
    <col min="4" max="4" width="10.5546875" customWidth="1"/>
    <col min="5" max="5" width="9.109375" customWidth="1"/>
    <col min="6" max="6" width="12.33203125" customWidth="1"/>
    <col min="7" max="7" width="12" customWidth="1"/>
    <col min="10" max="10" width="18.109375" customWidth="1"/>
    <col min="13" max="13" width="11.21875" customWidth="1"/>
  </cols>
  <sheetData>
    <row r="1" spans="1:16" ht="43.2" x14ac:dyDescent="0.3">
      <c r="A1" s="4" t="s">
        <v>26</v>
      </c>
    </row>
    <row r="2" spans="1:16" x14ac:dyDescent="0.3">
      <c r="A2" t="s">
        <v>28</v>
      </c>
      <c r="B2" t="s">
        <v>4</v>
      </c>
      <c r="C2" t="s">
        <v>5</v>
      </c>
      <c r="D2" t="s">
        <v>0</v>
      </c>
      <c r="E2" t="s">
        <v>1</v>
      </c>
      <c r="F2" t="s">
        <v>2</v>
      </c>
      <c r="G2" t="s">
        <v>3</v>
      </c>
      <c r="H2" t="s">
        <v>6</v>
      </c>
      <c r="I2" s="5"/>
      <c r="J2" s="5" t="s">
        <v>29</v>
      </c>
      <c r="M2" s="7" t="s">
        <v>50</v>
      </c>
      <c r="N2" s="7" t="s">
        <v>51</v>
      </c>
      <c r="O2" s="7" t="s">
        <v>52</v>
      </c>
      <c r="P2" s="7" t="s">
        <v>53</v>
      </c>
    </row>
    <row r="3" spans="1:16" x14ac:dyDescent="0.3">
      <c r="A3" t="s">
        <v>7</v>
      </c>
      <c r="B3">
        <v>4</v>
      </c>
      <c r="C3">
        <v>3</v>
      </c>
      <c r="D3">
        <v>3</v>
      </c>
      <c r="E3">
        <v>4</v>
      </c>
      <c r="F3">
        <v>4</v>
      </c>
      <c r="G3">
        <v>4</v>
      </c>
      <c r="H3" s="3">
        <f t="shared" ref="H3:H22" si="0">AVERAGE(B3:G3)</f>
        <v>3.6666666666666665</v>
      </c>
      <c r="J3" t="str">
        <f>IF(H3&gt;=4,"OK",IF(H3&gt;=3,"Do poprawy","Luka"))</f>
        <v>Do poprawy</v>
      </c>
      <c r="M3" s="6">
        <f>COUNTIF(B4:G22,2)</f>
        <v>3</v>
      </c>
      <c r="N3" s="6">
        <f>COUNTIF(B3:G22,3)</f>
        <v>11</v>
      </c>
      <c r="O3" s="6">
        <f>COUNTIF(B3:G22,4)</f>
        <v>58</v>
      </c>
      <c r="P3" s="6">
        <f>COUNTIF(B3:G22,5)</f>
        <v>48</v>
      </c>
    </row>
    <row r="4" spans="1:16" x14ac:dyDescent="0.3">
      <c r="A4" t="s">
        <v>8</v>
      </c>
      <c r="B4">
        <v>5</v>
      </c>
      <c r="C4">
        <v>3</v>
      </c>
      <c r="D4">
        <v>2</v>
      </c>
      <c r="E4">
        <v>4</v>
      </c>
      <c r="F4">
        <v>4</v>
      </c>
      <c r="G4">
        <v>4</v>
      </c>
      <c r="H4" s="3">
        <f t="shared" si="0"/>
        <v>3.6666666666666665</v>
      </c>
      <c r="J4" t="str">
        <f t="shared" ref="J4:J22" si="1">IF(H4&gt;=4,"OK",IF(H4&gt;=3,"Do poprawy","Luka"))</f>
        <v>Do poprawy</v>
      </c>
    </row>
    <row r="5" spans="1:16" x14ac:dyDescent="0.3">
      <c r="A5" t="s">
        <v>9</v>
      </c>
      <c r="B5">
        <v>3</v>
      </c>
      <c r="C5">
        <v>2</v>
      </c>
      <c r="D5">
        <v>2</v>
      </c>
      <c r="E5">
        <v>4</v>
      </c>
      <c r="F5">
        <v>4</v>
      </c>
      <c r="G5">
        <v>3</v>
      </c>
      <c r="H5" s="3">
        <f t="shared" si="0"/>
        <v>3</v>
      </c>
      <c r="J5" t="str">
        <f t="shared" si="1"/>
        <v>Do poprawy</v>
      </c>
    </row>
    <row r="6" spans="1:16" x14ac:dyDescent="0.3">
      <c r="A6" t="s">
        <v>10</v>
      </c>
      <c r="B6">
        <v>4</v>
      </c>
      <c r="C6">
        <v>4</v>
      </c>
      <c r="D6">
        <v>3</v>
      </c>
      <c r="E6">
        <v>4</v>
      </c>
      <c r="F6">
        <v>3</v>
      </c>
      <c r="G6">
        <v>4</v>
      </c>
      <c r="H6" s="3">
        <f t="shared" si="0"/>
        <v>3.6666666666666665</v>
      </c>
      <c r="J6" t="str">
        <f t="shared" si="1"/>
        <v>Do poprawy</v>
      </c>
    </row>
    <row r="7" spans="1:16" x14ac:dyDescent="0.3">
      <c r="A7" t="s">
        <v>11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 s="3">
        <f t="shared" si="0"/>
        <v>4</v>
      </c>
      <c r="J7" t="str">
        <f t="shared" si="1"/>
        <v>OK</v>
      </c>
    </row>
    <row r="8" spans="1:16" x14ac:dyDescent="0.3">
      <c r="A8" t="s">
        <v>12</v>
      </c>
      <c r="B8">
        <v>4</v>
      </c>
      <c r="C8">
        <v>4</v>
      </c>
      <c r="D8">
        <v>3</v>
      </c>
      <c r="E8">
        <v>4</v>
      </c>
      <c r="F8">
        <v>4</v>
      </c>
      <c r="G8">
        <v>4</v>
      </c>
      <c r="H8" s="3">
        <f t="shared" si="0"/>
        <v>3.8333333333333335</v>
      </c>
      <c r="J8" t="str">
        <f t="shared" si="1"/>
        <v>Do poprawy</v>
      </c>
    </row>
    <row r="9" spans="1:16" x14ac:dyDescent="0.3">
      <c r="A9" t="s">
        <v>13</v>
      </c>
      <c r="B9">
        <v>5</v>
      </c>
      <c r="C9">
        <v>4</v>
      </c>
      <c r="D9">
        <v>3</v>
      </c>
      <c r="E9">
        <v>5</v>
      </c>
      <c r="F9">
        <v>5</v>
      </c>
      <c r="G9">
        <v>4</v>
      </c>
      <c r="H9" s="3">
        <f t="shared" si="0"/>
        <v>4.333333333333333</v>
      </c>
      <c r="J9" t="str">
        <f t="shared" si="1"/>
        <v>OK</v>
      </c>
    </row>
    <row r="10" spans="1:16" x14ac:dyDescent="0.3">
      <c r="A10" t="s">
        <v>14</v>
      </c>
      <c r="B10">
        <v>5</v>
      </c>
      <c r="C10">
        <v>4</v>
      </c>
      <c r="D10">
        <v>4</v>
      </c>
      <c r="E10">
        <v>4</v>
      </c>
      <c r="F10">
        <v>5</v>
      </c>
      <c r="G10">
        <v>5</v>
      </c>
      <c r="H10" s="3">
        <f t="shared" si="0"/>
        <v>4.5</v>
      </c>
      <c r="J10" t="str">
        <f t="shared" si="1"/>
        <v>OK</v>
      </c>
    </row>
    <row r="11" spans="1:16" x14ac:dyDescent="0.3">
      <c r="A11" t="s">
        <v>15</v>
      </c>
      <c r="B11">
        <v>5</v>
      </c>
      <c r="C11">
        <v>5</v>
      </c>
      <c r="D11">
        <v>3</v>
      </c>
      <c r="E11">
        <v>5</v>
      </c>
      <c r="F11">
        <v>4</v>
      </c>
      <c r="G11">
        <v>4</v>
      </c>
      <c r="H11" s="3">
        <f t="shared" si="0"/>
        <v>4.333333333333333</v>
      </c>
      <c r="J11" t="str">
        <f t="shared" si="1"/>
        <v>OK</v>
      </c>
    </row>
    <row r="12" spans="1:16" x14ac:dyDescent="0.3">
      <c r="A12" t="s">
        <v>16</v>
      </c>
      <c r="B12">
        <v>5</v>
      </c>
      <c r="C12">
        <v>5</v>
      </c>
      <c r="D12">
        <v>4</v>
      </c>
      <c r="E12">
        <v>4</v>
      </c>
      <c r="F12">
        <v>5</v>
      </c>
      <c r="G12">
        <v>4</v>
      </c>
      <c r="H12" s="3">
        <f t="shared" si="0"/>
        <v>4.5</v>
      </c>
      <c r="J12" t="str">
        <f t="shared" si="1"/>
        <v>OK</v>
      </c>
    </row>
    <row r="13" spans="1:16" x14ac:dyDescent="0.3">
      <c r="A13" t="s">
        <v>17</v>
      </c>
      <c r="B13">
        <v>5</v>
      </c>
      <c r="C13">
        <v>4</v>
      </c>
      <c r="D13">
        <v>4</v>
      </c>
      <c r="E13">
        <v>5</v>
      </c>
      <c r="F13">
        <v>5</v>
      </c>
      <c r="G13">
        <v>4</v>
      </c>
      <c r="H13" s="3">
        <f t="shared" si="0"/>
        <v>4.5</v>
      </c>
      <c r="J13" t="str">
        <f t="shared" si="1"/>
        <v>OK</v>
      </c>
    </row>
    <row r="14" spans="1:16" x14ac:dyDescent="0.3">
      <c r="A14" t="s">
        <v>18</v>
      </c>
      <c r="B14">
        <v>4</v>
      </c>
      <c r="C14">
        <v>4</v>
      </c>
      <c r="D14">
        <v>3</v>
      </c>
      <c r="E14">
        <v>4</v>
      </c>
      <c r="F14">
        <v>5</v>
      </c>
      <c r="G14">
        <v>4</v>
      </c>
      <c r="H14" s="3">
        <f t="shared" si="0"/>
        <v>4</v>
      </c>
      <c r="J14" t="str">
        <f t="shared" si="1"/>
        <v>OK</v>
      </c>
    </row>
    <row r="15" spans="1:16" x14ac:dyDescent="0.3">
      <c r="A15" t="s">
        <v>19</v>
      </c>
      <c r="B15">
        <v>4</v>
      </c>
      <c r="C15">
        <v>4</v>
      </c>
      <c r="D15">
        <v>4</v>
      </c>
      <c r="E15">
        <v>4</v>
      </c>
      <c r="F15">
        <v>5</v>
      </c>
      <c r="G15">
        <v>4</v>
      </c>
      <c r="H15" s="3">
        <f t="shared" si="0"/>
        <v>4.166666666666667</v>
      </c>
      <c r="J15" t="str">
        <f t="shared" si="1"/>
        <v>OK</v>
      </c>
    </row>
    <row r="16" spans="1:16" x14ac:dyDescent="0.3">
      <c r="A16" t="s">
        <v>24</v>
      </c>
      <c r="B16">
        <v>5</v>
      </c>
      <c r="C16">
        <v>4</v>
      </c>
      <c r="D16">
        <v>4</v>
      </c>
      <c r="E16">
        <v>4</v>
      </c>
      <c r="F16">
        <v>5</v>
      </c>
      <c r="G16">
        <v>4</v>
      </c>
      <c r="H16" s="3">
        <f t="shared" si="0"/>
        <v>4.333333333333333</v>
      </c>
      <c r="J16" t="str">
        <f t="shared" si="1"/>
        <v>OK</v>
      </c>
    </row>
    <row r="17" spans="1:10" x14ac:dyDescent="0.3">
      <c r="A17" t="s">
        <v>20</v>
      </c>
      <c r="B17">
        <v>5</v>
      </c>
      <c r="C17">
        <v>5</v>
      </c>
      <c r="D17">
        <v>4</v>
      </c>
      <c r="E17">
        <v>5</v>
      </c>
      <c r="F17">
        <v>5</v>
      </c>
      <c r="G17">
        <v>5</v>
      </c>
      <c r="H17" s="3">
        <f t="shared" si="0"/>
        <v>4.833333333333333</v>
      </c>
      <c r="J17" t="str">
        <f t="shared" si="1"/>
        <v>OK</v>
      </c>
    </row>
    <row r="18" spans="1:10" x14ac:dyDescent="0.3">
      <c r="A18" t="s">
        <v>21</v>
      </c>
      <c r="B18">
        <v>5</v>
      </c>
      <c r="C18">
        <v>5</v>
      </c>
      <c r="D18">
        <v>4</v>
      </c>
      <c r="E18">
        <v>5</v>
      </c>
      <c r="F18">
        <v>5</v>
      </c>
      <c r="G18">
        <v>5</v>
      </c>
      <c r="H18" s="3">
        <f t="shared" si="0"/>
        <v>4.833333333333333</v>
      </c>
      <c r="J18" t="str">
        <f t="shared" si="1"/>
        <v>OK</v>
      </c>
    </row>
    <row r="19" spans="1:10" x14ac:dyDescent="0.3">
      <c r="A19" t="s">
        <v>22</v>
      </c>
      <c r="B19">
        <v>5</v>
      </c>
      <c r="C19">
        <v>4</v>
      </c>
      <c r="D19">
        <v>4</v>
      </c>
      <c r="E19">
        <v>5</v>
      </c>
      <c r="F19">
        <v>5</v>
      </c>
      <c r="G19">
        <v>4</v>
      </c>
      <c r="H19" s="3">
        <f t="shared" si="0"/>
        <v>4.5</v>
      </c>
      <c r="J19" t="str">
        <f t="shared" si="1"/>
        <v>OK</v>
      </c>
    </row>
    <row r="20" spans="1:10" x14ac:dyDescent="0.3">
      <c r="A20" t="s">
        <v>23</v>
      </c>
      <c r="B20">
        <v>5</v>
      </c>
      <c r="C20">
        <v>5</v>
      </c>
      <c r="D20">
        <v>4</v>
      </c>
      <c r="E20">
        <v>5</v>
      </c>
      <c r="F20">
        <v>5</v>
      </c>
      <c r="G20">
        <v>5</v>
      </c>
      <c r="H20" s="3">
        <f t="shared" si="0"/>
        <v>4.833333333333333</v>
      </c>
      <c r="J20" t="str">
        <f t="shared" si="1"/>
        <v>OK</v>
      </c>
    </row>
    <row r="21" spans="1:10" x14ac:dyDescent="0.3">
      <c r="A21" t="s">
        <v>25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 s="3">
        <f t="shared" si="0"/>
        <v>5</v>
      </c>
      <c r="J21" t="str">
        <f t="shared" si="1"/>
        <v>OK</v>
      </c>
    </row>
    <row r="22" spans="1:10" x14ac:dyDescent="0.3">
      <c r="A22" t="s">
        <v>27</v>
      </c>
      <c r="B22">
        <v>5</v>
      </c>
      <c r="C22">
        <v>5</v>
      </c>
      <c r="D22">
        <v>4</v>
      </c>
      <c r="E22">
        <v>4</v>
      </c>
      <c r="F22">
        <v>5</v>
      </c>
      <c r="G22">
        <v>5</v>
      </c>
      <c r="H22" s="3">
        <f t="shared" si="0"/>
        <v>4.666666666666667</v>
      </c>
      <c r="J22" t="str">
        <f t="shared" si="1"/>
        <v>OK</v>
      </c>
    </row>
  </sheetData>
  <phoneticPr fontId="1" type="noConversion"/>
  <conditionalFormatting sqref="B3:G22">
    <cfRule type="cellIs" dxfId="5" priority="3" operator="equal">
      <formula>5</formula>
    </cfRule>
    <cfRule type="cellIs" dxfId="4" priority="4" operator="equal">
      <formula>4</formula>
    </cfRule>
    <cfRule type="cellIs" dxfId="3" priority="5" operator="equal">
      <formula>2</formula>
    </cfRule>
    <cfRule type="cellIs" dxfId="2" priority="6" operator="equal">
      <formula>3</formula>
    </cfRule>
  </conditionalFormatting>
  <conditionalFormatting sqref="J3:J22">
    <cfRule type="containsText" dxfId="1" priority="1" operator="containsText" text="OK">
      <formula>NOT(ISERROR(SEARCH("OK",J3)))</formula>
    </cfRule>
    <cfRule type="containsText" dxfId="0" priority="2" operator="containsText" text="Do poprawy">
      <formula>NOT(ISERROR(SEARCH("Do poprawy",J3)))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5F59-7E8F-4CEE-B542-721BABCCDDBE}">
  <dimension ref="A1:G21"/>
  <sheetViews>
    <sheetView topLeftCell="A2" workbookViewId="0">
      <selection activeCell="I8" sqref="I8"/>
    </sheetView>
  </sheetViews>
  <sheetFormatPr defaultRowHeight="14.4" x14ac:dyDescent="0.3"/>
  <cols>
    <col min="1" max="1" width="35.77734375" bestFit="1" customWidth="1"/>
    <col min="2" max="2" width="9.21875" customWidth="1"/>
    <col min="3" max="3" width="10.33203125" bestFit="1" customWidth="1"/>
    <col min="4" max="4" width="39.5546875" bestFit="1" customWidth="1"/>
    <col min="5" max="5" width="9.109375" customWidth="1"/>
    <col min="6" max="6" width="12.33203125" customWidth="1"/>
    <col min="7" max="7" width="12" customWidth="1"/>
    <col min="8" max="8" width="9.33203125" customWidth="1"/>
    <col min="9" max="9" width="18.109375" customWidth="1"/>
    <col min="10" max="10" width="10.88671875" customWidth="1"/>
  </cols>
  <sheetData>
    <row r="1" spans="1:7" ht="43.2" x14ac:dyDescent="0.3">
      <c r="A1" s="4" t="s">
        <v>26</v>
      </c>
      <c r="B1" s="1"/>
      <c r="C1" s="1"/>
      <c r="D1" s="1"/>
      <c r="E1" s="1"/>
      <c r="F1" s="1"/>
      <c r="G1" s="1"/>
    </row>
    <row r="2" spans="1:7" ht="94.2" x14ac:dyDescent="0.3">
      <c r="A2" s="2" t="s">
        <v>28</v>
      </c>
      <c r="B2" s="2" t="s">
        <v>6</v>
      </c>
      <c r="C2" s="2" t="s">
        <v>29</v>
      </c>
      <c r="D2" s="2" t="s">
        <v>32</v>
      </c>
    </row>
    <row r="3" spans="1:7" x14ac:dyDescent="0.3">
      <c r="A3" t="s">
        <v>9</v>
      </c>
      <c r="B3" s="3">
        <v>3</v>
      </c>
      <c r="C3" t="s">
        <v>30</v>
      </c>
      <c r="D3" s="1" t="s">
        <v>33</v>
      </c>
    </row>
    <row r="4" spans="1:7" x14ac:dyDescent="0.3">
      <c r="A4" t="s">
        <v>7</v>
      </c>
      <c r="B4" s="3">
        <v>3.6666666666666665</v>
      </c>
      <c r="C4" t="s">
        <v>30</v>
      </c>
      <c r="D4" s="1" t="s">
        <v>34</v>
      </c>
    </row>
    <row r="5" spans="1:7" ht="28.8" x14ac:dyDescent="0.3">
      <c r="A5" t="s">
        <v>8</v>
      </c>
      <c r="B5" s="3">
        <v>3.6666666666666665</v>
      </c>
      <c r="C5" t="s">
        <v>30</v>
      </c>
      <c r="D5" s="1" t="s">
        <v>35</v>
      </c>
    </row>
    <row r="6" spans="1:7" x14ac:dyDescent="0.3">
      <c r="A6" t="s">
        <v>10</v>
      </c>
      <c r="B6" s="3">
        <v>3.6666666666666665</v>
      </c>
      <c r="C6" t="s">
        <v>30</v>
      </c>
      <c r="D6" s="1" t="s">
        <v>36</v>
      </c>
    </row>
    <row r="7" spans="1:7" x14ac:dyDescent="0.3">
      <c r="A7" t="s">
        <v>12</v>
      </c>
      <c r="B7" s="3">
        <v>3.8333333333333335</v>
      </c>
      <c r="C7" t="s">
        <v>30</v>
      </c>
      <c r="D7" s="1" t="s">
        <v>37</v>
      </c>
    </row>
    <row r="8" spans="1:7" x14ac:dyDescent="0.3">
      <c r="A8" t="s">
        <v>11</v>
      </c>
      <c r="B8" s="3">
        <v>4</v>
      </c>
      <c r="C8" t="s">
        <v>31</v>
      </c>
      <c r="D8" t="s">
        <v>38</v>
      </c>
    </row>
    <row r="9" spans="1:7" x14ac:dyDescent="0.3">
      <c r="A9" t="s">
        <v>18</v>
      </c>
      <c r="B9" s="3">
        <v>4</v>
      </c>
      <c r="C9" t="s">
        <v>31</v>
      </c>
      <c r="D9" t="s">
        <v>39</v>
      </c>
    </row>
    <row r="10" spans="1:7" x14ac:dyDescent="0.3">
      <c r="A10" t="s">
        <v>19</v>
      </c>
      <c r="B10" s="3">
        <v>4.166666666666667</v>
      </c>
      <c r="C10" t="s">
        <v>31</v>
      </c>
      <c r="D10" t="s">
        <v>40</v>
      </c>
    </row>
    <row r="11" spans="1:7" x14ac:dyDescent="0.3">
      <c r="A11" t="s">
        <v>13</v>
      </c>
      <c r="B11" s="3">
        <v>4.333333333333333</v>
      </c>
      <c r="C11" t="s">
        <v>31</v>
      </c>
      <c r="D11" t="s">
        <v>38</v>
      </c>
    </row>
    <row r="12" spans="1:7" x14ac:dyDescent="0.3">
      <c r="A12" t="s">
        <v>15</v>
      </c>
      <c r="B12" s="3">
        <v>4.333333333333333</v>
      </c>
      <c r="C12" t="s">
        <v>31</v>
      </c>
      <c r="D12" t="s">
        <v>41</v>
      </c>
    </row>
    <row r="13" spans="1:7" x14ac:dyDescent="0.3">
      <c r="A13" t="s">
        <v>24</v>
      </c>
      <c r="B13" s="3">
        <v>4.333333333333333</v>
      </c>
      <c r="C13" t="s">
        <v>31</v>
      </c>
      <c r="D13" t="s">
        <v>42</v>
      </c>
    </row>
    <row r="14" spans="1:7" x14ac:dyDescent="0.3">
      <c r="A14" t="s">
        <v>14</v>
      </c>
      <c r="B14" s="3">
        <v>4.5</v>
      </c>
      <c r="C14" t="s">
        <v>31</v>
      </c>
      <c r="D14" t="s">
        <v>43</v>
      </c>
    </row>
    <row r="15" spans="1:7" x14ac:dyDescent="0.3">
      <c r="A15" t="s">
        <v>16</v>
      </c>
      <c r="B15" s="3">
        <v>4.5</v>
      </c>
      <c r="C15" t="s">
        <v>31</v>
      </c>
      <c r="D15" t="s">
        <v>41</v>
      </c>
    </row>
    <row r="16" spans="1:7" x14ac:dyDescent="0.3">
      <c r="A16" t="s">
        <v>17</v>
      </c>
      <c r="B16" s="3">
        <v>4.5</v>
      </c>
      <c r="C16" t="s">
        <v>31</v>
      </c>
      <c r="D16" t="s">
        <v>44</v>
      </c>
    </row>
    <row r="17" spans="1:4" x14ac:dyDescent="0.3">
      <c r="A17" t="s">
        <v>22</v>
      </c>
      <c r="B17" s="3">
        <v>4.5</v>
      </c>
      <c r="C17" t="s">
        <v>31</v>
      </c>
      <c r="D17" t="s">
        <v>45</v>
      </c>
    </row>
    <row r="18" spans="1:4" x14ac:dyDescent="0.3">
      <c r="A18" t="s">
        <v>20</v>
      </c>
      <c r="B18" s="3">
        <v>4.833333333333333</v>
      </c>
      <c r="C18" t="s">
        <v>31</v>
      </c>
      <c r="D18" t="s">
        <v>46</v>
      </c>
    </row>
    <row r="19" spans="1:4" x14ac:dyDescent="0.3">
      <c r="A19" t="s">
        <v>21</v>
      </c>
      <c r="B19" s="3">
        <v>4.833333333333333</v>
      </c>
      <c r="C19" t="s">
        <v>31</v>
      </c>
      <c r="D19" t="s">
        <v>47</v>
      </c>
    </row>
    <row r="20" spans="1:4" x14ac:dyDescent="0.3">
      <c r="A20" t="s">
        <v>23</v>
      </c>
      <c r="B20" s="3">
        <v>4.833333333333333</v>
      </c>
      <c r="C20" t="s">
        <v>31</v>
      </c>
      <c r="D20" t="s">
        <v>48</v>
      </c>
    </row>
    <row r="21" spans="1:4" x14ac:dyDescent="0.3">
      <c r="A21" t="s">
        <v>25</v>
      </c>
      <c r="B21" s="3">
        <v>5</v>
      </c>
      <c r="C21" t="s">
        <v>31</v>
      </c>
      <c r="D21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Agnieszka matryca </vt:lpstr>
      <vt:lpstr>Agnieszka analiza wyników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Giebień</dc:creator>
  <cp:lastModifiedBy>Aleksandra Giebień</cp:lastModifiedBy>
  <dcterms:created xsi:type="dcterms:W3CDTF">2025-08-31T08:33:16Z</dcterms:created>
  <dcterms:modified xsi:type="dcterms:W3CDTF">2025-11-30T14:16:00Z</dcterms:modified>
</cp:coreProperties>
</file>